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79d1ab8a2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本项目明细" sheetId="1" r:id="Raea7e913b5b3421c"/>
    <x:sheet xmlns:r="http://schemas.openxmlformats.org/officeDocument/2006/relationships" name="参数与口径" sheetId="2" r:id="R1e097e6633c04f80"/>
    <x:sheet xmlns:r="http://schemas.openxmlformats.org/officeDocument/2006/relationships" name="核算示例" sheetId="3" r:id="R6bab9d7107ae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0"/>
    <x:numFmt numFmtId="202" formatCode="#,##0.0000"/>
  </x:numFmts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F4E78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200" fontId="6" fillId="4" borderId="2" xfId="0" applyNumberFormat="1" applyFont="1" applyFill="1" applyBorder="1" applyAlignment="1">
      <x:alignment vertical="top" wrapText="1"/>
    </x:xf>
    <x:xf numFmtId="201" fontId="6" fillId="4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1" fontId="6" fillId="4" borderId="1" xfId="0" applyNumberFormat="1" applyFont="1" applyFill="1" applyBorder="1" applyAlignment="1">
      <x:alignment vertical="top" wrapText="1"/>
    </x:xf>
    <x:xf numFmtId="202" fontId="6" fillId="0" borderId="1" xfId="0" applyNumberFormat="1" applyFont="1" applyFill="1" applyBorder="1" applyAlignment="1">
      <x:alignment vertical="top" wrapText="1"/>
    </x:xf>
    <x:xf numFmtId="201" fontId="6" fillId="4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201" fontId="6" fillId="5" borderId="2" xfId="0" applyNumberFormat="1" applyFont="1" applyFill="1" applyBorder="1" applyAlignment="1">
      <x:alignment vertical="top" wrapText="1"/>
    </x:xf>
    <x:xf numFmtId="202" fontId="6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201" fontId="5" fillId="5" borderId="2" xfId="0" applyNumberFormat="1" applyFont="1" applyFill="1" applyBorder="1" applyAlignment="1">
      <x:alignment vertical="top" wrapText="1"/>
    </x:xf>
    <x:xf numFmtId="202" fontId="5" fillId="5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201" fontId="6" fillId="3" borderId="2" xfId="0" applyNumberFormat="1" applyFont="1" applyFill="1" applyBorder="1" applyAlignment="1">
      <x:alignment vertical="top" wrapText="1"/>
    </x:xf>
    <x:xf numFmtId="201" fontId="5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bc13aec714873" /><Relationship Type="http://schemas.openxmlformats.org/officeDocument/2006/relationships/theme" Target="/xl/theme/theme1.xml" Id="Rd7828a8aa307431f" /><Relationship Type="http://schemas.openxmlformats.org/officeDocument/2006/relationships/sharedStrings" Target="/xl/sharedStrings.xml" Id="R2072386068534e63" /><Relationship Type="http://schemas.openxmlformats.org/officeDocument/2006/relationships/worksheet" Target="/xl/worksheets/sheet1.xml" Id="Raea7e913b5b3421c" /><Relationship Type="http://schemas.openxmlformats.org/officeDocument/2006/relationships/worksheet" Target="/xl/worksheets/sheet2.xml" Id="R1e097e6633c04f80" /><Relationship Type="http://schemas.openxmlformats.org/officeDocument/2006/relationships/worksheet" Target="/xl/worksheets/sheet3.xml" Id="R6bab9d7107ae4499" /></Relationships>
</file>

<file path=xl/tables/table1.xml><?xml version="1.0" encoding="utf-8"?>
<x:table xmlns:x="http://schemas.openxmlformats.org/spreadsheetml/2006/main" id="1" name="CostItemsTable" displayName="CostItemsTable" ref="A3:J47" headerRowCount="1" totalsRowCount="0" totalsRowShown="0">
  <x:tableColumns count="10">
    <x:tableColumn id="1" name="成本大类"/>
    <x:tableColumn id="2" name="成本项目"/>
    <x:tableColumn id="3" name="明细"/>
    <x:tableColumn id="4" name="成本属性"/>
    <x:tableColumn id="5" name="计量单位"/>
    <x:tableColumn id="6" name="成本驱动因素"/>
    <x:tableColumn id="7" name="建议分摊口径"/>
    <x:tableColumn id="8" name="建议计算公式"/>
    <x:tableColumn id="9" name="数据来源/采集字段"/>
    <x:tableColumn id="1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ametersTable" displayName="ParametersTable" ref="A3:G24" headerRowCount="1" totalsRowCount="0" totalsRowShown="0">
  <x:tableColumns count="7">
    <x:tableColumn id="1" name="参数类别"/>
    <x:tableColumn id="2" name="参数名称"/>
    <x:tableColumn id="3" name="示例值"/>
    <x:tableColumn id="4" name="单位"/>
    <x:tableColumn id="5" name="是否可编辑"/>
    <x:tableColumn id="6" name="说明"/>
    <x:tableColumn id="7" name="数据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ExampleTable" displayName="CostExampleTable" ref="A3:F19" headerRowCount="1" totalsRowCount="0" totalsRowShown="0">
  <x:tableColumns count="6">
    <x:tableColumn id="1" name="成本模块"/>
    <x:tableColumn id="2" name="月度金额（元）"/>
    <x:tableColumn id="3" name="金额来源/计算说明"/>
    <x:tableColumn id="4" name="分摊指标"/>
    <x:tableColumn id="5" name="月度指标值"/>
    <x:tableColumn id="6" name="单位成本（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0addbe6e9b42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10edf6b44e4a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83ddf98a9b445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4" hidden="0" customWidth="1"/>
    <x:col min="4" max="4" width="13" hidden="0" customWidth="1"/>
    <x:col min="5" max="5" width="14" hidden="0" customWidth="1"/>
    <x:col min="6" max="6" width="30" hidden="0" customWidth="1"/>
    <x:col min="7" max="7" width="27" hidden="0" customWidth="1"/>
    <x:col min="8" max="8" width="38" hidden="0" customWidth="1"/>
    <x:col min="9" max="9" width="28" hidden="0" customWidth="1"/>
    <x:col min="10" max="10" width="30" hidden="0" customWidth="1"/>
  </x:cols>
  <x:sheetData>
    <x:row r="1" ht="26" customHeight="1">
      <x:c r="A1" s="2" t="str">
        <x:v>智能网联终端 AI 推理内部成本项目明细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用途：识别实际支出并建立单位成本；分摊驱动因素不作为新增支出；来源：01-需求文档/关于智能网联终端费用的调研.md及专家补充口径</x:v>
      </x:c>
    </x:row>
    <x:row r="3">
      <x:c r="A3" s="8" t="str">
        <x:v>成本大类</x:v>
      </x:c>
      <x:c r="B3" s="8" t="str">
        <x:v>成本项目</x:v>
      </x:c>
      <x:c r="C3" s="8" t="str">
        <x:v>明细</x:v>
      </x:c>
      <x:c r="D3" s="8" t="str">
        <x:v>成本属性</x:v>
      </x:c>
      <x:c r="E3" s="8" t="str">
        <x:v>计量单位</x:v>
      </x:c>
      <x:c r="F3" s="8" t="str">
        <x:v>成本驱动因素</x:v>
      </x:c>
      <x:c r="G3" s="8" t="str">
        <x:v>建议分摊口径</x:v>
      </x:c>
      <x:c r="H3" s="8" t="str">
        <x:v>建议计算公式</x:v>
      </x:c>
      <x:c r="I3" s="8" t="str">
        <x:v>数据来源/采集字段</x:v>
      </x:c>
      <x:c r="J3" s="8" t="str">
        <x:v>备注</x:v>
      </x:c>
    </x:row>
    <x:row r="4" ht="34" customHeight="1">
      <x:c r="A4" s="16" t="str">
        <x:v>固定成本/资本性支出</x:v>
      </x:c>
      <x:c r="B4" s="14" t="str">
        <x:v>推理服务器</x:v>
      </x:c>
      <x:c r="C4" s="14" t="str">
        <x:v>GPU、CPU、内存、主板、电源、机箱</x:v>
      </x:c>
      <x:c r="D4" s="14" t="str">
        <x:v>固定/折旧</x:v>
      </x:c>
      <x:c r="E4" s="14" t="str">
        <x:v>元/月</x:v>
      </x:c>
      <x:c r="F4" s="14" t="str">
        <x:v>采购价、折旧年限、残值</x:v>
      </x:c>
      <x:c r="G4" s="14" t="str">
        <x:v>按GPU小时、显存占用或AI资源比例</x:v>
      </x:c>
      <x:c r="H4" s="14" t="str">
        <x:v>(采购价-残值)/折旧月数×AI资源占用比例</x:v>
      </x:c>
      <x:c r="I4" s="14" t="str">
        <x:v>资产台账、采购合同、折旧政策</x:v>
      </x:c>
      <x:c r="J4" s="14" t="str">
        <x:v>自建服务器适用</x:v>
      </x:c>
    </x:row>
    <x:row r="5" ht="34" customHeight="1">
      <x:c r="A5" s="17" t="str">
        <x:v>固定成本/资本性支出</x:v>
      </x:c>
      <x:c r="B5" s="15" t="str">
        <x:v>存储设备</x:v>
      </x:c>
      <x:c r="C5" s="15" t="str">
        <x:v>SSD、硬盘、NAS、对象存储设备</x:v>
      </x:c>
      <x:c r="D5" s="15" t="str">
        <x:v>固定/折旧</x:v>
      </x:c>
      <x:c r="E5" s="15" t="str">
        <x:v>元/月</x:v>
      </x:c>
      <x:c r="F5" s="15" t="str">
        <x:v>容量、采购价、保留周期</x:v>
      </x:c>
      <x:c r="G5" s="15" t="str">
        <x:v>按存储容量或数据量</x:v>
      </x:c>
      <x:c r="H5" s="15" t="str">
        <x:v>月折旧×AI存储占用比例</x:v>
      </x:c>
      <x:c r="I5" s="15" t="str">
        <x:v>资产台账、存储监控</x:v>
      </x:c>
      <x:c r="J5" s="15" t="str">
        <x:v>输入、输出、日志分开统计</x:v>
      </x:c>
    </x:row>
    <x:row r="6" ht="34" customHeight="1">
      <x:c r="A6" s="17" t="str">
        <x:v>固定成本/资本性支出</x:v>
      </x:c>
      <x:c r="B6" s="15" t="str">
        <x:v>网络设备</x:v>
      </x:c>
      <x:c r="C6" s="15" t="str">
        <x:v>交换机、防火墙、负载均衡</x:v>
      </x:c>
      <x:c r="D6" s="15" t="str">
        <x:v>固定/折旧</x:v>
      </x:c>
      <x:c r="E6" s="15" t="str">
        <x:v>元/月</x:v>
      </x:c>
      <x:c r="F6" s="15" t="str">
        <x:v>采购价、折旧年限</x:v>
      </x:c>
      <x:c r="G6" s="15" t="str">
        <x:v>按端口、带宽或AI流量占比</x:v>
      </x:c>
      <x:c r="H6" s="15" t="str">
        <x:v>月折旧×AI网络资源占用比例</x:v>
      </x:c>
      <x:c r="I6" s="15" t="str">
        <x:v>资产台账、网络监控</x:v>
      </x:c>
      <x:c r="J6" s="15" t="str"/>
    </x:row>
    <x:row r="7" ht="34" customHeight="1">
      <x:c r="A7" s="17" t="str">
        <x:v>固定成本/资本性支出</x:v>
      </x:c>
      <x:c r="B7" s="15" t="str">
        <x:v>机房及供电设备</x:v>
      </x:c>
      <x:c r="C7" s="15" t="str">
        <x:v>机柜、UPS、配电设备</x:v>
      </x:c>
      <x:c r="D7" s="15" t="str">
        <x:v>固定/折旧</x:v>
      </x:c>
      <x:c r="E7" s="15" t="str">
        <x:v>元/月</x:v>
      </x:c>
      <x:c r="F7" s="15" t="str">
        <x:v>采购价、机柜占用、折旧年限</x:v>
      </x:c>
      <x:c r="G7" s="15" t="str">
        <x:v>按机柜、功率或服务器数量</x:v>
      </x:c>
      <x:c r="H7" s="15" t="str">
        <x:v>月折旧×AI设备占用比例</x:v>
      </x:c>
      <x:c r="I7" s="15" t="str">
        <x:v>机房资产台账</x:v>
      </x:c>
      <x:c r="J7" s="15" t="str"/>
    </x:row>
    <x:row r="8" ht="34" customHeight="1">
      <x:c r="A8" s="17" t="str">
        <x:v>固定成本/资本性支出</x:v>
      </x:c>
      <x:c r="B8" s="15" t="str">
        <x:v>备用与容灾设备</x:v>
      </x:c>
      <x:c r="C8" s="15" t="str">
        <x:v>备用GPU、备用服务器、硬盘副本</x:v>
      </x:c>
      <x:c r="D8" s="15" t="str">
        <x:v>固定/折旧</x:v>
      </x:c>
      <x:c r="E8" s="15" t="str">
        <x:v>元/月</x:v>
      </x:c>
      <x:c r="F8" s="15" t="str">
        <x:v>冗余比例、设备采购价</x:v>
      </x:c>
      <x:c r="G8" s="15" t="str">
        <x:v>按业务使用的冗余资源分摊</x:v>
      </x:c>
      <x:c r="H8" s="15" t="str">
        <x:v>月折旧×AI业务分摊比例</x:v>
      </x:c>
      <x:c r="I8" s="15" t="str">
        <x:v>资产台账、容灾方案</x:v>
      </x:c>
      <x:c r="J8" s="15" t="str">
        <x:v>不要按零利用率直接剔除</x:v>
      </x:c>
    </x:row>
    <x:row r="9" ht="34" customHeight="1">
      <x:c r="A9" s="17" t="str">
        <x:v>固定成本/资本性支出</x:v>
      </x:c>
      <x:c r="B9" s="15" t="str">
        <x:v>部署实施</x:v>
      </x:c>
      <x:c r="C9" s="15" t="str">
        <x:v>模型部署、接口开发、系统集成</x:v>
      </x:c>
      <x:c r="D9" s="15" t="str">
        <x:v>一次性/摊销</x:v>
      </x:c>
      <x:c r="E9" s="15" t="str">
        <x:v>元/月</x:v>
      </x:c>
      <x:c r="F9" s="15" t="str">
        <x:v>项目金额、服务期</x:v>
      </x:c>
      <x:c r="G9" s="15" t="str">
        <x:v>按项目或服务期</x:v>
      </x:c>
      <x:c r="H9" s="15" t="str">
        <x:v>项目金额÷摊销月数</x:v>
      </x:c>
      <x:c r="I9" s="15" t="str">
        <x:v>项目合同、工时记录</x:v>
      </x:c>
      <x:c r="J9" s="15" t="str">
        <x:v>可单独列项目实施成本</x:v>
      </x:c>
    </x:row>
    <x:row r="10" ht="34" customHeight="1">
      <x:c r="A10" s="17" t="str">
        <x:v>固定成本/资本性支出</x:v>
      </x:c>
      <x:c r="B10" s="15" t="str">
        <x:v>软件授权</x:v>
      </x:c>
      <x:c r="C10" s="15" t="str">
        <x:v>操作系统、数据库、中间件、商业推理框架</x:v>
      </x:c>
      <x:c r="D10" s="15" t="str">
        <x:v>固定/订阅</x:v>
      </x:c>
      <x:c r="E10" s="15" t="str">
        <x:v>元/月</x:v>
      </x:c>
      <x:c r="F10" s="15" t="str">
        <x:v>授权费、订阅周期、实例数</x:v>
      </x:c>
      <x:c r="G10" s="15" t="str">
        <x:v>按实例、节点或调用量</x:v>
      </x:c>
      <x:c r="H10" s="15" t="str">
        <x:v>年费÷12×AI使用比例</x:v>
      </x:c>
      <x:c r="I10" s="15" t="str">
        <x:v>采购合同、许可证台账</x:v>
      </x:c>
      <x:c r="J10" s="15" t="str">
        <x:v>开源软件也需记录维护成本</x:v>
      </x:c>
    </x:row>
    <x:row r="11" ht="34" customHeight="1">
      <x:c r="A11" s="17" t="str">
        <x:v>计算变量成本</x:v>
      </x:c>
      <x:c r="B11" s="15" t="str">
        <x:v>云GPU租用费</x:v>
      </x:c>
      <x:c r="C11" s="15" t="str">
        <x:v>使用云厂商GPU实例产生的租用费用</x:v>
      </x:c>
      <x:c r="D11" s="15" t="str">
        <x:v>变量/实际支出</x:v>
      </x:c>
      <x:c r="E11" s="15" t="str">
        <x:v>元/GPU小时</x:v>
      </x:c>
      <x:c r="F11" s="15" t="str">
        <x:v>云GPU实例单价、租用时长</x:v>
      </x:c>
      <x:c r="G11" s="15" t="str">
        <x:v>按云账单实际金额</x:v>
      </x:c>
      <x:c r="H11" s="15" t="str">
        <x:v>云GPU租用时长×云GPU小时单价</x:v>
      </x:c>
      <x:c r="I11" s="15" t="str">
        <x:v>云平台账单、实例日志</x:v>
      </x:c>
      <x:c r="J11" s="15" t="str">
        <x:v>仅云部署计入；自建GPU不计此项</x:v>
      </x:c>
    </x:row>
    <x:row r="12" ht="34" customHeight="1">
      <x:c r="A12" s="17" t="str">
        <x:v>分摊驱动因素</x:v>
      </x:c>
      <x:c r="B12" s="15" t="str">
        <x:v>自建GPU使用时长</x:v>
      </x:c>
      <x:c r="C12" s="15" t="str">
        <x:v>模型前向计算占用的GPU时间</x:v>
      </x:c>
      <x:c r="D12" s="15" t="str">
        <x:v>分摊驱动/不计入</x:v>
      </x:c>
      <x:c r="E12" s="15" t="str">
        <x:v>GPU小时</x:v>
      </x:c>
      <x:c r="F12" s="15" t="str">
        <x:v>AI占用时长、总可用时长</x:v>
      </x:c>
      <x:c r="G12" s="15" t="str">
        <x:v>用于分摊折旧和能耗</x:v>
      </x:c>
      <x:c r="H12" s="15" t="str">
        <x:v>AI GPU小时÷全部业务GPU小时</x:v>
      </x:c>
      <x:c r="I12" s="15" t="str">
        <x:v>GPU监控、推理日志</x:v>
      </x:c>
      <x:c r="J12" s="15" t="str">
        <x:v>不是新增支出，不单独加总</x:v>
      </x:c>
    </x:row>
    <x:row r="13" ht="34" customHeight="1">
      <x:c r="A13" s="17" t="str">
        <x:v>计算变量成本</x:v>
      </x:c>
      <x:c r="B13" s="15" t="str">
        <x:v>CPU预处理</x:v>
      </x:c>
      <x:c r="C13" s="15" t="str">
        <x:v>解码、缩放、裁剪、格式转换</x:v>
      </x:c>
      <x:c r="D13" s="15" t="str">
        <x:v>变量</x:v>
      </x:c>
      <x:c r="E13" s="15" t="str">
        <x:v>元/请求</x:v>
      </x:c>
      <x:c r="F13" s="15" t="str">
        <x:v>CPU时间、图片分辨率</x:v>
      </x:c>
      <x:c r="G13" s="15" t="str">
        <x:v>按请求或CPU秒</x:v>
      </x:c>
      <x:c r="H13" s="15" t="str">
        <x:v>CPU小时成本×处理耗时</x:v>
      </x:c>
      <x:c r="I13" s="15" t="str">
        <x:v>服务日志、主机监控</x:v>
      </x:c>
      <x:c r="J13" s="15" t="str"/>
    </x:row>
    <x:row r="14" ht="34" customHeight="1">
      <x:c r="A14" s="17" t="str">
        <x:v>计算变量成本</x:v>
      </x:c>
      <x:c r="B14" s="15" t="str">
        <x:v>后处理与结果生成</x:v>
      </x:c>
      <x:c r="C14" s="15" t="str">
        <x:v>NMS、结构化结果、截图、规则判断</x:v>
      </x:c>
      <x:c r="D14" s="15" t="str">
        <x:v>变量</x:v>
      </x:c>
      <x:c r="E14" s="15" t="str">
        <x:v>元/请求</x:v>
      </x:c>
      <x:c r="F14" s="15" t="str">
        <x:v>目标数量、后处理耗时</x:v>
      </x:c>
      <x:c r="G14" s="15" t="str">
        <x:v>按请求</x:v>
      </x:c>
      <x:c r="H14" s="15" t="str">
        <x:v>CPU资源成本+存储写入成本</x:v>
      </x:c>
      <x:c r="I14" s="15" t="str">
        <x:v>推理日志</x:v>
      </x:c>
      <x:c r="J14" s="15" t="str"/>
    </x:row>
    <x:row r="15" ht="34" customHeight="1">
      <x:c r="A15" s="17" t="str">
        <x:v>计算变量成本</x:v>
      </x:c>
      <x:c r="B15" s="15" t="str">
        <x:v>多模型链路</x:v>
      </x:c>
      <x:c r="C15" s="15" t="str">
        <x:v>检测、识别、OCR、复核等串联模型</x:v>
      </x:c>
      <x:c r="D15" s="15" t="str">
        <x:v>变量</x:v>
      </x:c>
      <x:c r="E15" s="15" t="str">
        <x:v>元/业务请求</x:v>
      </x:c>
      <x:c r="F15" s="15" t="str">
        <x:v>每请求调用模型数量</x:v>
      </x:c>
      <x:c r="G15" s="15" t="str">
        <x:v>按业务请求拆分模型成本</x:v>
      </x:c>
      <x:c r="H15" s="15" t="str">
        <x:v>模型1成本+模型2成本+...+模型N成本</x:v>
      </x:c>
      <x:c r="I15" s="15" t="str">
        <x:v>链路日志、模型路由配置</x:v>
      </x:c>
      <x:c r="J15" s="15" t="str">
        <x:v>避免只计一次</x:v>
      </x:c>
    </x:row>
    <x:row r="16" ht="34" customHeight="1">
      <x:c r="A16" s="17" t="str">
        <x:v>计算变量成本</x:v>
      </x:c>
      <x:c r="B16" s="15" t="str">
        <x:v>失败重试</x:v>
      </x:c>
      <x:c r="C16" s="15" t="str">
        <x:v>超时、失败或人工触发的重复识别</x:v>
      </x:c>
      <x:c r="D16" s="15" t="str">
        <x:v>变量</x:v>
      </x:c>
      <x:c r="E16" s="15" t="str">
        <x:v>元/请求</x:v>
      </x:c>
      <x:c r="F16" s="15" t="str">
        <x:v>失败率、重试次数</x:v>
      </x:c>
      <x:c r="G16" s="15" t="str">
        <x:v>按实际推理次数</x:v>
      </x:c>
      <x:c r="H16" s="15" t="str">
        <x:v>重试次数×单次推理成本</x:v>
      </x:c>
      <x:c r="I16" s="15" t="str">
        <x:v>错误日志、队列日志</x:v>
      </x:c>
      <x:c r="J16" s="15" t="str">
        <x:v>外部API可能重复收费</x:v>
      </x:c>
    </x:row>
    <x:row r="17" ht="34" customHeight="1">
      <x:c r="A17" s="17" t="str">
        <x:v>能源与基础设施</x:v>
      </x:c>
      <x:c r="B17" s="15" t="str">
        <x:v>服务器电费</x:v>
      </x:c>
      <x:c r="C17" s="15" t="str">
        <x:v>GPU、CPU、内存、硬盘实际耗电</x:v>
      </x:c>
      <x:c r="D17" s="15" t="str">
        <x:v>变量</x:v>
      </x:c>
      <x:c r="E17" s="15" t="str">
        <x:v>元/月</x:v>
      </x:c>
      <x:c r="F17" s="15" t="str">
        <x:v>功耗、运行时长、电价</x:v>
      </x:c>
      <x:c r="G17" s="15" t="str">
        <x:v>按设备功耗或GPU小时</x:v>
      </x:c>
      <x:c r="H17" s="15" t="str">
        <x:v>耗电量×电价</x:v>
      </x:c>
      <x:c r="I17" s="15" t="str">
        <x:v>电表、设备监控、电费账单</x:v>
      </x:c>
      <x:c r="J17" s="15" t="str"/>
    </x:row>
    <x:row r="18" ht="34" customHeight="1">
      <x:c r="A18" s="17" t="str">
        <x:v>能源与基础设施</x:v>
      </x:c>
      <x:c r="B18" s="15" t="str">
        <x:v>制冷与散热</x:v>
      </x:c>
      <x:c r="C18" s="15" t="str">
        <x:v>空调、液冷、机房散热</x:v>
      </x:c>
      <x:c r="D18" s="15" t="str">
        <x:v>固定+变量</x:v>
      </x:c>
      <x:c r="E18" s="15" t="str">
        <x:v>元/月</x:v>
      </x:c>
      <x:c r="F18" s="15" t="str">
        <x:v>PUE、服务器耗电量</x:v>
      </x:c>
      <x:c r="G18" s="15" t="str">
        <x:v>按功耗或PUE分摊</x:v>
      </x:c>
      <x:c r="H18" s="15" t="str">
        <x:v>服务器电费×(PUE-1)</x:v>
      </x:c>
      <x:c r="I18" s="15" t="str">
        <x:v>机房能耗、PUE</x:v>
      </x:c>
      <x:c r="J18" s="15" t="str">
        <x:v>云GPU通常已含在租用费内</x:v>
      </x:c>
    </x:row>
    <x:row r="19" ht="34" customHeight="1">
      <x:c r="A19" s="17" t="str">
        <x:v>能源与基础设施</x:v>
      </x:c>
      <x:c r="B19" s="15" t="str">
        <x:v>UPS与配电损耗</x:v>
      </x:c>
      <x:c r="C19" s="15" t="str">
        <x:v>UPS转换损耗、配电损耗</x:v>
      </x:c>
      <x:c r="D19" s="15" t="str">
        <x:v>固定+变量</x:v>
      </x:c>
      <x:c r="E19" s="15" t="str">
        <x:v>元/月</x:v>
      </x:c>
      <x:c r="F19" s="15" t="str">
        <x:v>负载、设备数量</x:v>
      </x:c>
      <x:c r="G19" s="15" t="str">
        <x:v>按功耗或设备占用</x:v>
      </x:c>
      <x:c r="H19" s="15" t="str">
        <x:v>总电费×配电损耗比例</x:v>
      </x:c>
      <x:c r="I19" s="15" t="str">
        <x:v>机房能耗数据</x:v>
      </x:c>
      <x:c r="J19" s="15" t="str"/>
    </x:row>
    <x:row r="20" ht="34" customHeight="1">
      <x:c r="A20" s="17" t="str">
        <x:v>存储与传输</x:v>
      </x:c>
      <x:c r="B20" s="15" t="str">
        <x:v>输入数据存储</x:v>
      </x:c>
      <x:c r="C20" s="15" t="str">
        <x:v>原始图片、视频帧、音频</x:v>
      </x:c>
      <x:c r="D20" s="15" t="str">
        <x:v>变量</x:v>
      </x:c>
      <x:c r="E20" s="15" t="str">
        <x:v>元/GB月</x:v>
      </x:c>
      <x:c r="F20" s="15" t="str">
        <x:v>新增数据量、保留周期</x:v>
      </x:c>
      <x:c r="G20" s="15" t="str">
        <x:v>按GB月</x:v>
      </x:c>
      <x:c r="H20" s="15" t="str">
        <x:v>数据量×保留月数×存储单价</x:v>
      </x:c>
      <x:c r="I20" s="15" t="str">
        <x:v>对象存储、数据库、文件系统</x:v>
      </x:c>
      <x:c r="J20" s="15" t="str"/>
    </x:row>
    <x:row r="21" ht="34" customHeight="1">
      <x:c r="A21" s="17" t="str">
        <x:v>存储与传输</x:v>
      </x:c>
      <x:c r="B21" s="15" t="str">
        <x:v>输出结果存储</x:v>
      </x:c>
      <x:c r="C21" s="15" t="str">
        <x:v>识别框、标签、截图、结构化结果</x:v>
      </x:c>
      <x:c r="D21" s="15" t="str">
        <x:v>变量</x:v>
      </x:c>
      <x:c r="E21" s="15" t="str">
        <x:v>元/GB月</x:v>
      </x:c>
      <x:c r="F21" s="15" t="str">
        <x:v>结果大小、保留周期</x:v>
      </x:c>
      <x:c r="G21" s="15" t="str">
        <x:v>按GB月或请求</x:v>
      </x:c>
      <x:c r="H21" s="15" t="str">
        <x:v>结果数据量×存储单价</x:v>
      </x:c>
      <x:c r="I21" s="15" t="str">
        <x:v>数据库、对象存储</x:v>
      </x:c>
      <x:c r="J21" s="15" t="str"/>
    </x:row>
    <x:row r="22" ht="34" customHeight="1">
      <x:c r="A22" s="17" t="str">
        <x:v>存储与传输</x:v>
      </x:c>
      <x:c r="B22" s="15" t="str">
        <x:v>临时文件与缓存</x:v>
      </x:c>
      <x:c r="C22" s="15" t="str">
        <x:v>缩略图、中间图片、模型缓存</x:v>
      </x:c>
      <x:c r="D22" s="15" t="str">
        <x:v>变量</x:v>
      </x:c>
      <x:c r="E22" s="15" t="str">
        <x:v>元/GB月</x:v>
      </x:c>
      <x:c r="F22" s="15" t="str">
        <x:v>缓存命中率、清理周期</x:v>
      </x:c>
      <x:c r="G22" s="15" t="str">
        <x:v>按实际占用容量</x:v>
      </x:c>
      <x:c r="H22" s="15" t="str">
        <x:v>平均占用量×存储单价</x:v>
      </x:c>
      <x:c r="I22" s="15" t="str">
        <x:v>缓存监控、文件系统</x:v>
      </x:c>
      <x:c r="J22" s="15" t="str"/>
    </x:row>
    <x:row r="23" ht="34" customHeight="1">
      <x:c r="A23" s="17" t="str">
        <x:v>存储与传输</x:v>
      </x:c>
      <x:c r="B23" s="15" t="str">
        <x:v>日志与审计存储</x:v>
      </x:c>
      <x:c r="C23" s="15" t="str">
        <x:v>请求、错误、审计、调用链日志</x:v>
      </x:c>
      <x:c r="D23" s="15" t="str">
        <x:v>固定+变量</x:v>
      </x:c>
      <x:c r="E23" s="15" t="str">
        <x:v>元/月</x:v>
      </x:c>
      <x:c r="F23" s="15" t="str">
        <x:v>日志量、保存期限</x:v>
      </x:c>
      <x:c r="G23" s="15" t="str">
        <x:v>按日志量或服务占比</x:v>
      </x:c>
      <x:c r="H23" s="15" t="str">
        <x:v>日志量×日志存储单价</x:v>
      </x:c>
      <x:c r="I23" s="15" t="str">
        <x:v>日志平台、审计平台</x:v>
      </x:c>
      <x:c r="J23" s="15" t="str"/>
    </x:row>
    <x:row r="24" ht="34" customHeight="1">
      <x:c r="A24" s="17" t="str">
        <x:v>存储与传输</x:v>
      </x:c>
      <x:c r="B24" s="15" t="str">
        <x:v>备份与容灾存储</x:v>
      </x:c>
      <x:c r="C24" s="15" t="str">
        <x:v>数据库备份、对象副本、异地备份</x:v>
      </x:c>
      <x:c r="D24" s="15" t="str">
        <x:v>固定+变量</x:v>
      </x:c>
      <x:c r="E24" s="15" t="str">
        <x:v>元/月</x:v>
      </x:c>
      <x:c r="F24" s="15" t="str">
        <x:v>副本数、备份周期、容量</x:v>
      </x:c>
      <x:c r="G24" s="15" t="str">
        <x:v>按备份容量</x:v>
      </x:c>
      <x:c r="H24" s="15" t="str">
        <x:v>备份容量×存储单价+传输费</x:v>
      </x:c>
      <x:c r="I24" s="15" t="str">
        <x:v>备份系统、对象存储</x:v>
      </x:c>
      <x:c r="J24" s="15" t="str"/>
    </x:row>
    <x:row r="25" ht="34" customHeight="1">
      <x:c r="A25" s="17" t="str">
        <x:v>存储与传输</x:v>
      </x:c>
      <x:c r="B25" s="15" t="str">
        <x:v>内网数据传输</x:v>
      </x:c>
      <x:c r="C25" s="15" t="str">
        <x:v>设备到平台、平台到推理服务</x:v>
      </x:c>
      <x:c r="D25" s="15" t="str">
        <x:v>变量</x:v>
      </x:c>
      <x:c r="E25" s="15" t="str">
        <x:v>元/GB</x:v>
      </x:c>
      <x:c r="F25" s="15" t="str">
        <x:v>数据量、传输路径</x:v>
      </x:c>
      <x:c r="G25" s="15" t="str">
        <x:v>按GB</x:v>
      </x:c>
      <x:c r="H25" s="15" t="str">
        <x:v>传输GB×内网带宽单价</x:v>
      </x:c>
      <x:c r="I25" s="15" t="str">
        <x:v>网络监控、流量日志</x:v>
      </x:c>
      <x:c r="J25" s="15" t="str"/>
    </x:row>
    <x:row r="26" ht="34" customHeight="1">
      <x:c r="A26" s="17" t="str">
        <x:v>存储与传输</x:v>
      </x:c>
      <x:c r="B26" s="15" t="str">
        <x:v>外网出口与下行</x:v>
      </x:c>
      <x:c r="C26" s="15" t="str">
        <x:v>云出口、客户访问、视频回放</x:v>
      </x:c>
      <x:c r="D26" s="15" t="str">
        <x:v>变量</x:v>
      </x:c>
      <x:c r="E26" s="15" t="str">
        <x:v>元/GB</x:v>
      </x:c>
      <x:c r="F26" s="15" t="str">
        <x:v>外网流量、回放时长</x:v>
      </x:c>
      <x:c r="G26" s="15" t="str">
        <x:v>按GB</x:v>
      </x:c>
      <x:c r="H26" s="15" t="str">
        <x:v>外网GB×出口单价</x:v>
      </x:c>
      <x:c r="I26" s="15" t="str">
        <x:v>云账单、CDN账单</x:v>
      </x:c>
      <x:c r="J26" s="15" t="str"/>
    </x:row>
    <x:row r="27" ht="34" customHeight="1">
      <x:c r="A27" s="17" t="str">
        <x:v>软件与安全</x:v>
      </x:c>
      <x:c r="B27" s="15" t="str">
        <x:v>模型服务与调度平台</x:v>
      </x:c>
      <x:c r="C27" s="15" t="str">
        <x:v>推理服务、队列、任务调度、限流</x:v>
      </x:c>
      <x:c r="D27" s="15" t="str">
        <x:v>固定+订阅</x:v>
      </x:c>
      <x:c r="E27" s="15" t="str">
        <x:v>元/月</x:v>
      </x:c>
      <x:c r="F27" s="15" t="str">
        <x:v>节点数、并发量</x:v>
      </x:c>
      <x:c r="G27" s="15" t="str">
        <x:v>按节点或请求量</x:v>
      </x:c>
      <x:c r="H27" s="15" t="str">
        <x:v>平台费用×AI使用比例</x:v>
      </x:c>
      <x:c r="I27" s="15" t="str">
        <x:v>平台账单、部署清单</x:v>
      </x:c>
      <x:c r="J27" s="15" t="str"/>
    </x:row>
    <x:row r="28" ht="34" customHeight="1">
      <x:c r="A28" s="17" t="str">
        <x:v>软件与安全</x:v>
      </x:c>
      <x:c r="B28" s="15" t="str">
        <x:v>监控与告警</x:v>
      </x:c>
      <x:c r="C28" s="15" t="str">
        <x:v>GPU、CPU、显存、延迟、错误率监控</x:v>
      </x:c>
      <x:c r="D28" s="15" t="str">
        <x:v>固定+变量</x:v>
      </x:c>
      <x:c r="E28" s="15" t="str">
        <x:v>元/月</x:v>
      </x:c>
      <x:c r="F28" s="15" t="str">
        <x:v>监控节点、指标量、日志量</x:v>
      </x:c>
      <x:c r="G28" s="15" t="str">
        <x:v>按节点或服务</x:v>
      </x:c>
      <x:c r="H28" s="15" t="str">
        <x:v>监控费用×AI服务占比</x:v>
      </x:c>
      <x:c r="I28" s="15" t="str">
        <x:v>监控平台账单</x:v>
      </x:c>
      <x:c r="J28" s="15" t="str"/>
    </x:row>
    <x:row r="29" ht="34" customHeight="1">
      <x:c r="A29" s="17" t="str">
        <x:v>软件与安全</x:v>
      </x:c>
      <x:c r="B29" s="15" t="str">
        <x:v>身份与访问控制</x:v>
      </x:c>
      <x:c r="C29" s="15" t="str">
        <x:v>认证、权限、密钥管理</x:v>
      </x:c>
      <x:c r="D29" s="15" t="str">
        <x:v>固定</x:v>
      </x:c>
      <x:c r="E29" s="15" t="str">
        <x:v>元/月</x:v>
      </x:c>
      <x:c r="F29" s="15" t="str">
        <x:v>账号数、服务数</x:v>
      </x:c>
      <x:c r="G29" s="15" t="str">
        <x:v>按账号、节点或服务</x:v>
      </x:c>
      <x:c r="H29" s="15" t="str">
        <x:v>安全平台费用×AI占比</x:v>
      </x:c>
      <x:c r="I29" s="15" t="str">
        <x:v>安全平台账单</x:v>
      </x:c>
      <x:c r="J29" s="15" t="str"/>
    </x:row>
    <x:row r="30" ht="34" customHeight="1">
      <x:c r="A30" s="17" t="str">
        <x:v>软件与安全</x:v>
      </x:c>
      <x:c r="B30" s="15" t="str">
        <x:v>数据安全与脱敏</x:v>
      </x:c>
      <x:c r="C30" s="15" t="str">
        <x:v>人脸、车牌、敏感字段脱敏</x:v>
      </x:c>
      <x:c r="D30" s="15" t="str">
        <x:v>变量</x:v>
      </x:c>
      <x:c r="E30" s="15" t="str">
        <x:v>元/请求</x:v>
      </x:c>
      <x:c r="F30" s="15" t="str">
        <x:v>脱敏请求数、处理耗时</x:v>
      </x:c>
      <x:c r="G30" s="15" t="str">
        <x:v>按请求或数据量</x:v>
      </x:c>
      <x:c r="H30" s="15" t="str">
        <x:v>脱敏资源成本÷请求数</x:v>
      </x:c>
      <x:c r="I30" s="15" t="str">
        <x:v>安全服务日志</x:v>
      </x:c>
      <x:c r="J30" s="15" t="str">
        <x:v>涉及个人信息时需单列</x:v>
      </x:c>
    </x:row>
    <x:row r="31" ht="34" customHeight="1">
      <x:c r="A31" s="17" t="str">
        <x:v>软件与安全</x:v>
      </x:c>
      <x:c r="B31" s="15" t="str">
        <x:v>版本管理与灰度发布</x:v>
      </x:c>
      <x:c r="C31" s="15" t="str">
        <x:v>模型注册、测试、发布、回滚</x:v>
      </x:c>
      <x:c r="D31" s="15" t="str">
        <x:v>固定+人力</x:v>
      </x:c>
      <x:c r="E31" s="15" t="str">
        <x:v>元/月</x:v>
      </x:c>
      <x:c r="F31" s="15" t="str">
        <x:v>模型版本数、发布频率</x:v>
      </x:c>
      <x:c r="G31" s="15" t="str">
        <x:v>按模型或服务</x:v>
      </x:c>
      <x:c r="H31" s="15" t="str">
        <x:v>平台费用+相关人力分摊</x:v>
      </x:c>
      <x:c r="I31" s="15" t="str">
        <x:v>模型平台、发布记录</x:v>
      </x:c>
      <x:c r="J31" s="15" t="str"/>
    </x:row>
    <x:row r="32" ht="34" customHeight="1">
      <x:c r="A32" s="17" t="str">
        <x:v>人员成本</x:v>
      </x:c>
      <x:c r="B32" s="15" t="str">
        <x:v>算法维护</x:v>
      </x:c>
      <x:c r="C32" s="15" t="str">
        <x:v>模型调参、精度优化、误报分析</x:v>
      </x:c>
      <x:c r="D32" s="15" t="str">
        <x:v>固定+项目</x:v>
      </x:c>
      <x:c r="E32" s="15" t="str">
        <x:v>元/月</x:v>
      </x:c>
      <x:c r="F32" s="15" t="str">
        <x:v>投入工时、人员成本</x:v>
      </x:c>
      <x:c r="G32" s="15" t="str">
        <x:v>按工时或项目</x:v>
      </x:c>
      <x:c r="H32" s="15" t="str">
        <x:v>人工成本×AI推理投入比例</x:v>
      </x:c>
      <x:c r="I32" s="15" t="str">
        <x:v>工时系统、人力成本</x:v>
      </x:c>
      <x:c r="J32" s="15" t="str"/>
    </x:row>
    <x:row r="33" ht="34" customHeight="1">
      <x:c r="A33" s="17" t="str">
        <x:v>人员成本</x:v>
      </x:c>
      <x:c r="B33" s="15" t="str">
        <x:v>平台开发</x:v>
      </x:c>
      <x:c r="C33" s="15" t="str">
        <x:v>接口、任务调度、业务集成</x:v>
      </x:c>
      <x:c r="D33" s="15" t="str">
        <x:v>固定+项目</x:v>
      </x:c>
      <x:c r="E33" s="15" t="str">
        <x:v>元/月</x:v>
      </x:c>
      <x:c r="F33" s="15" t="str">
        <x:v>投入工时、项目周期</x:v>
      </x:c>
      <x:c r="G33" s="15" t="str">
        <x:v>按工时或项目</x:v>
      </x:c>
      <x:c r="H33" s="15" t="str">
        <x:v>人工成本×AI服务投入比例</x:v>
      </x:c>
      <x:c r="I33" s="15" t="str">
        <x:v>工时系统、人力成本</x:v>
      </x:c>
      <x:c r="J33" s="15" t="str"/>
    </x:row>
    <x:row r="34" ht="34" customHeight="1">
      <x:c r="A34" s="17" t="str">
        <x:v>人员成本</x:v>
      </x:c>
      <x:c r="B34" s="15" t="str">
        <x:v>运维支持</x:v>
      </x:c>
      <x:c r="C34" s="15" t="str">
        <x:v>发布、扩容、故障处理、值守</x:v>
      </x:c>
      <x:c r="D34" s="15" t="str">
        <x:v>固定+变量</x:v>
      </x:c>
      <x:c r="E34" s="15" t="str">
        <x:v>元/月</x:v>
      </x:c>
      <x:c r="F34" s="15" t="str">
        <x:v>工时、故障次数、服务等级</x:v>
      </x:c>
      <x:c r="G34" s="15" t="str">
        <x:v>按工时、设备或请求量</x:v>
      </x:c>
      <x:c r="H34" s="15" t="str">
        <x:v>人工成本×AI服务投入比例</x:v>
      </x:c>
      <x:c r="I34" s="15" t="str">
        <x:v>工单系统、工时系统</x:v>
      </x:c>
      <x:c r="J34" s="15" t="str"/>
    </x:row>
    <x:row r="35" ht="34" customHeight="1">
      <x:c r="A35" s="17" t="str">
        <x:v>人员成本</x:v>
      </x:c>
      <x:c r="B35" s="15" t="str">
        <x:v>数据标注与质检</x:v>
      </x:c>
      <x:c r="C35" s="15" t="str">
        <x:v>图片标注、样本清洗、结果复核</x:v>
      </x:c>
      <x:c r="D35" s="15" t="str">
        <x:v>变量/项目</x:v>
      </x:c>
      <x:c r="E35" s="15" t="str">
        <x:v>元/张或元/月</x:v>
      </x:c>
      <x:c r="F35" s="15" t="str">
        <x:v>图片数、标注复杂度</x:v>
      </x:c>
      <x:c r="G35" s="15" t="str">
        <x:v>按图片或项目</x:v>
      </x:c>
      <x:c r="H35" s="15" t="str">
        <x:v>标注单价×图片数</x:v>
      </x:c>
      <x:c r="I35" s="15" t="str">
        <x:v>标注平台、项目合同</x:v>
      </x:c>
      <x:c r="J35" s="15" t="str">
        <x:v>建议与训练成本分开</x:v>
      </x:c>
    </x:row>
    <x:row r="36" ht="34" customHeight="1">
      <x:c r="A36" s="17" t="str">
        <x:v>人员成本</x:v>
      </x:c>
      <x:c r="B36" s="15" t="str">
        <x:v>客户与现场支持</x:v>
      </x:c>
      <x:c r="C36" s="15" t="str">
        <x:v>问题处理、现场排障、验收支持</x:v>
      </x:c>
      <x:c r="D36" s="15" t="str">
        <x:v>固定+项目</x:v>
      </x:c>
      <x:c r="E36" s="15" t="str">
        <x:v>元/月</x:v>
      </x:c>
      <x:c r="F36" s="15" t="str">
        <x:v>工单数、现场天数</x:v>
      </x:c>
      <x:c r="G36" s="15" t="str">
        <x:v>按项目或服务期</x:v>
      </x:c>
      <x:c r="H36" s="15" t="str">
        <x:v>人工成本×项目投入比例</x:v>
      </x:c>
      <x:c r="I36" s="15" t="str">
        <x:v>工单系统、差旅记录</x:v>
      </x:c>
      <x:c r="J36" s="15" t="str"/>
    </x:row>
    <x:row r="37" ht="34" customHeight="1">
      <x:c r="A37" s="17" t="str">
        <x:v>外部AI服务</x:v>
      </x:c>
      <x:c r="B37" s="15" t="str">
        <x:v>输入文本费用</x:v>
      </x:c>
      <x:c r="C37" s="15" t="str">
        <x:v>外部大模型输入文本token</x:v>
      </x:c>
      <x:c r="D37" s="15" t="str">
        <x:v>变量</x:v>
      </x:c>
      <x:c r="E37" s="15" t="str">
        <x:v>元/百万token</x:v>
      </x:c>
      <x:c r="F37" s="15" t="str">
        <x:v>输入token数量、供应商单价</x:v>
      </x:c>
      <x:c r="G37" s="15" t="str">
        <x:v>按输入token</x:v>
      </x:c>
      <x:c r="H37" s="15" t="str">
        <x:v>输入token÷1,000,000×单价</x:v>
      </x:c>
      <x:c r="I37" s="15" t="str">
        <x:v>API账单、调用日志</x:v>
      </x:c>
      <x:c r="J37" s="15" t="str">
        <x:v>仅适用于外部API</x:v>
      </x:c>
    </x:row>
    <x:row r="38" ht="34" customHeight="1">
      <x:c r="A38" s="17" t="str">
        <x:v>外部AI服务</x:v>
      </x:c>
      <x:c r="B38" s="15" t="str">
        <x:v>输出文本费用</x:v>
      </x:c>
      <x:c r="C38" s="15" t="str">
        <x:v>外部大模型输出文本token</x:v>
      </x:c>
      <x:c r="D38" s="15" t="str">
        <x:v>变量</x:v>
      </x:c>
      <x:c r="E38" s="15" t="str">
        <x:v>元/百万token</x:v>
      </x:c>
      <x:c r="F38" s="15" t="str">
        <x:v>输出token数量、供应商单价</x:v>
      </x:c>
      <x:c r="G38" s="15" t="str">
        <x:v>按输出token</x:v>
      </x:c>
      <x:c r="H38" s="15" t="str">
        <x:v>输出token÷1,000,000×单价</x:v>
      </x:c>
      <x:c r="I38" s="15" t="str">
        <x:v>API账单、调用日志</x:v>
      </x:c>
      <x:c r="J38" s="15" t="str"/>
    </x:row>
    <x:row r="39" ht="34" customHeight="1">
      <x:c r="A39" s="17" t="str">
        <x:v>外部AI服务</x:v>
      </x:c>
      <x:c r="B39" s="15" t="str">
        <x:v>图片输入费用</x:v>
      </x:c>
      <x:c r="C39" s="15" t="str">
        <x:v>图片token、视觉输入单价</x:v>
      </x:c>
      <x:c r="D39" s="15" t="str">
        <x:v>变量</x:v>
      </x:c>
      <x:c r="E39" s="15" t="str">
        <x:v>元/张或元/百万token</x:v>
      </x:c>
      <x:c r="F39" s="15" t="str">
        <x:v>图片分辨率、供应商规则</x:v>
      </x:c>
      <x:c r="G39" s="15" t="str">
        <x:v>按图片或供应商token</x:v>
      </x:c>
      <x:c r="H39" s="15" t="str">
        <x:v>图片计费单位×供应商单价</x:v>
      </x:c>
      <x:c r="I39" s="15" t="str">
        <x:v>API账单、模型文档</x:v>
      </x:c>
      <x:c r="J39" s="15" t="str">
        <x:v>不要用图片KB直接替代图片token</x:v>
      </x:c>
    </x:row>
    <x:row r="40" ht="34" customHeight="1">
      <x:c r="A40" s="17" t="str">
        <x:v>外部AI服务</x:v>
      </x:c>
      <x:c r="B40" s="15" t="str">
        <x:v>请求与专用模型费用</x:v>
      </x:c>
      <x:c r="C40" s="15" t="str">
        <x:v>OCR、ASR、审核、检测等API</x:v>
      </x:c>
      <x:c r="D40" s="15" t="str">
        <x:v>变量</x:v>
      </x:c>
      <x:c r="E40" s="15" t="str">
        <x:v>元/次</x:v>
      </x:c>
      <x:c r="F40" s="15" t="str">
        <x:v>请求次数、模型类型</x:v>
      </x:c>
      <x:c r="G40" s="15" t="str">
        <x:v>按请求次数</x:v>
      </x:c>
      <x:c r="H40" s="15" t="str">
        <x:v>调用次数×API单价</x:v>
      </x:c>
      <x:c r="I40" s="15" t="str">
        <x:v>API账单、调用日志</x:v>
      </x:c>
      <x:c r="J40" s="15" t="str"/>
    </x:row>
    <x:row r="41" ht="34" customHeight="1">
      <x:c r="A41" s="17" t="str">
        <x:v>外部AI服务</x:v>
      </x:c>
      <x:c r="B41" s="15" t="str">
        <x:v>套餐及超额费用</x:v>
      </x:c>
      <x:c r="C41" s="15" t="str">
        <x:v>订阅额度、并发实例、超额调用</x:v>
      </x:c>
      <x:c r="D41" s="15" t="str">
        <x:v>固定+变量</x:v>
      </x:c>
      <x:c r="E41" s="15" t="str">
        <x:v>元/月</x:v>
      </x:c>
      <x:c r="F41" s="15" t="str">
        <x:v>套餐额度、超额量</x:v>
      </x:c>
      <x:c r="G41" s="15" t="str">
        <x:v>按项目或实际调用</x:v>
      </x:c>
      <x:c r="H41" s="15" t="str">
        <x:v>基础订阅费+超额调用费</x:v>
      </x:c>
      <x:c r="I41" s="15" t="str">
        <x:v>供应商合同、账单</x:v>
      </x:c>
      <x:c r="J41" s="15" t="str"/>
    </x:row>
    <x:row r="42" ht="34" customHeight="1">
      <x:c r="A42" s="17" t="str">
        <x:v>通信流量/配套成本</x:v>
      </x:c>
      <x:c r="B42" s="15" t="str">
        <x:v>SIM卡与基础套餐</x:v>
      </x:c>
      <x:c r="C42" s="15" t="str">
        <x:v>卡费、月租、企业共享池套餐</x:v>
      </x:c>
      <x:c r="D42" s="15" t="str">
        <x:v>固定</x:v>
      </x:c>
      <x:c r="E42" s="15" t="str">
        <x:v>元/卡月</x:v>
      </x:c>
      <x:c r="F42" s="15" t="str">
        <x:v>卡数量、套餐价格、共享池</x:v>
      </x:c>
      <x:c r="G42" s="15" t="str">
        <x:v>按卡、项目或共享池分摊</x:v>
      </x:c>
      <x:c r="H42" s="15" t="str">
        <x:v>卡数量×套餐单价</x:v>
      </x:c>
      <x:c r="I42" s="15" t="str">
        <x:v>运营商合同、账单</x:v>
      </x:c>
      <x:c r="J42" s="15" t="str">
        <x:v>明确元/月还是元/年</x:v>
      </x:c>
    </x:row>
    <x:row r="43" ht="34" customHeight="1">
      <x:c r="A43" s="17" t="str">
        <x:v>通信流量/配套成本</x:v>
      </x:c>
      <x:c r="B43" s="15" t="str">
        <x:v>ADU遥测上行</x:v>
      </x:c>
      <x:c r="C43" s="15" t="str">
        <x:v>定位、车辆状态、故障码、心跳、传感器摘要</x:v>
      </x:c>
      <x:c r="D43" s="15" t="str">
        <x:v>变量</x:v>
      </x:c>
      <x:c r="E43" s="15" t="str">
        <x:v>元/GB或元/车月</x:v>
      </x:c>
      <x:c r="F43" s="15" t="str">
        <x:v>上报频率、字段量、在线时长</x:v>
      </x:c>
      <x:c r="G43" s="15" t="str">
        <x:v>按实际GB或车月</x:v>
      </x:c>
      <x:c r="H43" s="15" t="str">
        <x:v>上行GB×流量单价</x:v>
      </x:c>
      <x:c r="I43" s="15" t="str">
        <x:v>TBOX/ADU流量日志</x:v>
      </x:c>
      <x:c r="J43" s="15" t="str">
        <x:v>通常为小流量持续上报</x:v>
      </x:c>
    </x:row>
    <x:row r="44" ht="34" customHeight="1">
      <x:c r="A44" s="17" t="str">
        <x:v>通信流量/配套成本</x:v>
      </x:c>
      <x:c r="B44" s="15" t="str">
        <x:v>ADU视频与关键帧上行</x:v>
      </x:c>
      <x:c r="C44" s="15" t="str">
        <x:v>远程驾驶多路视频、图片、关键帧</x:v>
      </x:c>
      <x:c r="D44" s="15" t="str">
        <x:v>变量</x:v>
      </x:c>
      <x:c r="E44" s="15" t="str">
        <x:v>元/GB或元/车小时</x:v>
      </x:c>
      <x:c r="F44" s="15" t="str">
        <x:v>码率、路数、工作时长</x:v>
      </x:c>
      <x:c r="G44" s="15" t="str">
        <x:v>按GB或车小时</x:v>
      </x:c>
      <x:c r="H44" s="15" t="str">
        <x:v>码率×时长×路数÷8÷1000</x:v>
      </x:c>
      <x:c r="I44" s="15" t="str">
        <x:v>视频网关、流量日志</x:v>
      </x:c>
      <x:c r="J44" s="15" t="str">
        <x:v>通常是ADU主要流量来源</x:v>
      </x:c>
    </x:row>
    <x:row r="45" ht="34" customHeight="1">
      <x:c r="A45" s="17" t="str">
        <x:v>通信流量/配套成本</x:v>
      </x:c>
      <x:c r="B45" s="15" t="str">
        <x:v>平台到ADU下行</x:v>
      </x:c>
      <x:c r="C45" s="15" t="str">
        <x:v>远程控制、任务、路线、参数配置</x:v>
      </x:c>
      <x:c r="D45" s="15" t="str">
        <x:v>变量</x:v>
      </x:c>
      <x:c r="E45" s="15" t="str">
        <x:v>元/GB</x:v>
      </x:c>
      <x:c r="F45" s="15" t="str">
        <x:v>指令次数、数据包大小</x:v>
      </x:c>
      <x:c r="G45" s="15" t="str">
        <x:v>按GB或指令次数</x:v>
      </x:c>
      <x:c r="H45" s="15" t="str">
        <x:v>下行GB×流量单价</x:v>
      </x:c>
      <x:c r="I45" s="15" t="str">
        <x:v>控制平台、流量日志</x:v>
      </x:c>
      <x:c r="J45" s="15" t="str">
        <x:v>数据量较小但实时性高</x:v>
      </x:c>
    </x:row>
    <x:row r="46" ht="34" customHeight="1">
      <x:c r="A46" s="17" t="str">
        <x:v>通信流量/配套成本</x:v>
      </x:c>
      <x:c r="B46" s="15" t="str">
        <x:v>OTA与地图下载</x:v>
      </x:c>
      <x:c r="C46" s="15" t="str">
        <x:v>软件升级包、地图、模型文件</x:v>
      </x:c>
      <x:c r="D46" s="15" t="str">
        <x:v>变量/偶发</x:v>
      </x:c>
      <x:c r="E46" s="15" t="str">
        <x:v>元/GB</x:v>
      </x:c>
      <x:c r="F46" s="15" t="str">
        <x:v>升级频次、包大小、设备数量</x:v>
      </x:c>
      <x:c r="G46" s="15" t="str">
        <x:v>按实际下载GB</x:v>
      </x:c>
      <x:c r="H46" s="15" t="str">
        <x:v>下载GB×流量单价</x:v>
      </x:c>
      <x:c r="I46" s="15" t="str">
        <x:v>OTA平台、下载日志</x:v>
      </x:c>
      <x:c r="J46" s="15" t="str">
        <x:v>形成月度峰值</x:v>
      </x:c>
    </x:row>
    <x:row r="47" ht="34" customHeight="1">
      <x:c r="A47" s="17" t="str">
        <x:v>通信流量/配套成本</x:v>
      </x:c>
      <x:c r="B47" s="15" t="str">
        <x:v>协议、重传与闲置损耗</x:v>
      </x:c>
      <x:c r="C47" s="15" t="str">
        <x:v>TCP/UDP协议开销、失败重传、共享池清零</x:v>
      </x:c>
      <x:c r="D47" s="15" t="str">
        <x:v>变量/分摊</x:v>
      </x:c>
      <x:c r="E47" s="15" t="str">
        <x:v>元/月</x:v>
      </x:c>
      <x:c r="F47" s="15" t="str">
        <x:v>网络质量、重传率、套餐有效期</x:v>
      </x:c>
      <x:c r="G47" s="15" t="str">
        <x:v>按实际流量或共享池损耗</x:v>
      </x:c>
      <x:c r="H47" s="15" t="str">
        <x:v>有效业务流量×开销系数+到期损耗分摊</x:v>
      </x:c>
      <x:c r="I47" s="15" t="str">
        <x:v>运营商账单、网络监控</x:v>
      </x:c>
      <x:c r="J47" s="15" t="str">
        <x:v>不要只看设备有效载荷</x:v>
      </x:c>
    </x:row>
    <x:row r="48" ht="34" customHeight="1">
      <x:c r="A48" s="18"/>
    </x:row>
    <x:row r="49" ht="34" customHeight="1">
      <x:c r="A49" s="18"/>
    </x:row>
    <x:row r="50" ht="34" customHeight="1">
      <x:c r="A50" s="18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20addbe6e9b42b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12" hidden="0" customWidth="1"/>
    <x:col min="6" max="6" width="36" hidden="0" customWidth="1"/>
    <x:col min="7" max="7" width="26" hidden="0" customWidth="1"/>
  </x:cols>
  <x:sheetData>
    <x:row r="1" ht="26" customHeight="1">
      <x:c r="A1" s="2" t="str">
        <x:v>参数与口径</x:v>
      </x:c>
      <x:c r="B1" s="2"/>
      <x:c r="C1" s="2"/>
      <x:c r="D1" s="2"/>
      <x:c r="E1" s="2"/>
      <x:c r="F1" s="2"/>
      <x:c r="G1" s="2"/>
    </x:row>
    <x:row r="2">
      <x:c r="A2" s="3" t="str">
        <x:v>示例值仅用于演示；黄色单元格为后续建议更新的输入参数</x:v>
      </x:c>
    </x:row>
    <x:row r="3">
      <x:c r="A3" s="8" t="str">
        <x:v>参数类别</x:v>
      </x:c>
      <x:c r="B3" s="8" t="str">
        <x:v>参数名称</x:v>
      </x:c>
      <x:c r="C3" s="8" t="str">
        <x:v>示例值</x:v>
      </x:c>
      <x:c r="D3" s="8" t="str">
        <x:v>单位</x:v>
      </x:c>
      <x:c r="E3" s="8" t="str">
        <x:v>是否可编辑</x:v>
      </x:c>
      <x:c r="F3" s="8" t="str">
        <x:v>说明</x:v>
      </x:c>
      <x:c r="G3" s="8" t="str">
        <x:v>数据来源</x:v>
      </x:c>
    </x:row>
    <x:row r="4">
      <x:c r="A4" s="23" t="str">
        <x:v>时间口径</x:v>
      </x:c>
      <x:c r="B4" s="23" t="str">
        <x:v>月天数</x:v>
      </x:c>
      <x:c r="C4" s="24" t="n">
        <x:v>30</x:v>
      </x:c>
      <x:c r="D4" s="23" t="str">
        <x:v>天/月</x:v>
      </x:c>
      <x:c r="E4" s="23" t="str">
        <x:v>是</x:v>
      </x:c>
      <x:c r="F4" s="23" t="str">
        <x:v>月度估算统一采用的天数</x:v>
      </x:c>
      <x:c r="G4" s="23" t="str">
        <x:v>财务核算口径</x:v>
      </x:c>
    </x:row>
    <x:row r="5">
      <x:c r="A5" s="25" t="str">
        <x:v>时间口径</x:v>
      </x:c>
      <x:c r="B5" s="25" t="str">
        <x:v>每月小时数</x:v>
      </x:c>
      <x:c r="C5" s="26" t="n">
        <x:v>720</x:v>
      </x:c>
      <x:c r="D5" s="25" t="str">
        <x:v>小时/月</x:v>
      </x:c>
      <x:c r="E5" s="25" t="str">
        <x:v>是</x:v>
      </x:c>
      <x:c r="F5" s="25" t="str">
        <x:v>用于GPU小时、视频小时换算</x:v>
      </x:c>
      <x:c r="G5" s="25" t="str">
        <x:v>月天数×24</x:v>
      </x:c>
    </x:row>
    <x:row r="6">
      <x:c r="A6" s="25" t="str">
        <x:v>折旧</x:v>
      </x:c>
      <x:c r="B6" s="25" t="str">
        <x:v>服务器折旧月数</x:v>
      </x:c>
      <x:c r="C6" s="26" t="n">
        <x:v>60</x:v>
      </x:c>
      <x:c r="D6" s="25" t="str">
        <x:v>月</x:v>
      </x:c>
      <x:c r="E6" s="25" t="str">
        <x:v>是</x:v>
      </x:c>
      <x:c r="F6" s="25" t="str">
        <x:v>按公司资产政策修改</x:v>
      </x:c>
      <x:c r="G6" s="25" t="str">
        <x:v>资产管理制度</x:v>
      </x:c>
    </x:row>
    <x:row r="7">
      <x:c r="A7" s="25" t="str">
        <x:v>折旧</x:v>
      </x:c>
      <x:c r="B7" s="25" t="str">
        <x:v>预计残值率</x:v>
      </x:c>
      <x:c r="C7" s="27" t="n">
        <x:v>0</x:v>
      </x:c>
      <x:c r="D7" s="25" t="str">
        <x:v>%</x:v>
      </x:c>
      <x:c r="E7" s="25" t="str">
        <x:v>是</x:v>
      </x:c>
      <x:c r="F7" s="25" t="str">
        <x:v>折旧结束时预计残值比例</x:v>
      </x:c>
      <x:c r="G7" s="25" t="str">
        <x:v>资产管理制度</x:v>
      </x:c>
    </x:row>
    <x:row r="8">
      <x:c r="A8" s="25" t="str">
        <x:v>资源分摊</x:v>
      </x:c>
      <x:c r="B8" s="25" t="str">
        <x:v>AI资源占用比例</x:v>
      </x:c>
      <x:c r="C8" s="27" t="n">
        <x:v>1</x:v>
      </x:c>
      <x:c r="D8" s="25" t="str">
        <x:v>%</x:v>
      </x:c>
      <x:c r="E8" s="25" t="str">
        <x:v>是</x:v>
      </x:c>
      <x:c r="F8" s="25" t="str">
        <x:v>设备同时承担其他业务时调整</x:v>
      </x:c>
      <x:c r="G8" s="25" t="str">
        <x:v>资源监控/工时记录</x:v>
      </x:c>
    </x:row>
    <x:row r="9">
      <x:c r="A9" s="25" t="str">
        <x:v>能源</x:v>
      </x:c>
      <x:c r="B9" s="25" t="str">
        <x:v>电价</x:v>
      </x:c>
      <x:c r="C9" s="26" t="n">
        <x:v>0.8</x:v>
      </x:c>
      <x:c r="D9" s="25" t="str">
        <x:v>元/kWh</x:v>
      </x:c>
      <x:c r="E9" s="25" t="str">
        <x:v>是</x:v>
      </x:c>
      <x:c r="F9" s="25" t="str">
        <x:v>按实际电费账单更新</x:v>
      </x:c>
      <x:c r="G9" s="25" t="str">
        <x:v>电费账单</x:v>
      </x:c>
    </x:row>
    <x:row r="10">
      <x:c r="A10" s="25" t="str">
        <x:v>能源</x:v>
      </x:c>
      <x:c r="B10" s="25" t="str">
        <x:v>PUE</x:v>
      </x:c>
      <x:c r="C10" s="26" t="n">
        <x:v>1.4</x:v>
      </x:c>
      <x:c r="D10" s="25" t="str">
        <x:v>倍</x:v>
      </x:c>
      <x:c r="E10" s="25" t="str">
        <x:v>是</x:v>
      </x:c>
      <x:c r="F10" s="25" t="str">
        <x:v>自建机房的制冷和配电附加系数</x:v>
      </x:c>
      <x:c r="G10" s="25" t="str">
        <x:v>机房能耗</x:v>
      </x:c>
    </x:row>
    <x:row r="11">
      <x:c r="A11" s="25" t="str">
        <x:v>推理</x:v>
      </x:c>
      <x:c r="B11" s="25" t="str">
        <x:v>单次推理耗时</x:v>
      </x:c>
      <x:c r="C11" s="26" t="n">
        <x:v>0.8</x:v>
      </x:c>
      <x:c r="D11" s="25" t="str">
        <x:v>秒/请求</x:v>
      </x:c>
      <x:c r="E11" s="25" t="str">
        <x:v>是</x:v>
      </x:c>
      <x:c r="F11" s="25" t="str">
        <x:v>建议使用P50/P95分别测算</x:v>
      </x:c>
      <x:c r="G11" s="25" t="str">
        <x:v>推理日志</x:v>
      </x:c>
    </x:row>
    <x:row r="12">
      <x:c r="A12" s="25" t="str">
        <x:v>推理</x:v>
      </x:c>
      <x:c r="B12" s="25" t="str">
        <x:v>GPU数量</x:v>
      </x:c>
      <x:c r="C12" s="26" t="n">
        <x:v>1</x:v>
      </x:c>
      <x:c r="D12" s="25" t="str">
        <x:v>张</x:v>
      </x:c>
      <x:c r="E12" s="25" t="str">
        <x:v>是</x:v>
      </x:c>
      <x:c r="F12" s="25" t="str">
        <x:v>用于演示GPU小时成本</x:v>
      </x:c>
      <x:c r="G12" s="25" t="str">
        <x:v>服务器资产台账</x:v>
      </x:c>
    </x:row>
    <x:row r="13">
      <x:c r="A13" s="25" t="str">
        <x:v>推理</x:v>
      </x:c>
      <x:c r="B13" s="25" t="str">
        <x:v>单GPU功耗</x:v>
      </x:c>
      <x:c r="C13" s="26" t="n">
        <x:v>0.35</x:v>
      </x:c>
      <x:c r="D13" s="25" t="str">
        <x:v>kW</x:v>
      </x:c>
      <x:c r="E13" s="25" t="str">
        <x:v>是</x:v>
      </x:c>
      <x:c r="F13" s="25" t="str">
        <x:v>按运行平均功耗更新</x:v>
      </x:c>
      <x:c r="G13" s="25" t="str">
        <x:v>GPU监控</x:v>
      </x:c>
    </x:row>
    <x:row r="14">
      <x:c r="A14" s="25" t="str">
        <x:v>业务量</x:v>
      </x:c>
      <x:c r="B14" s="25" t="str">
        <x:v>月有效推理请求数</x:v>
      </x:c>
      <x:c r="C14" s="26" t="n">
        <x:v>100000</x:v>
      </x:c>
      <x:c r="D14" s="25" t="str">
        <x:v>次/月</x:v>
      </x:c>
      <x:c r="E14" s="25" t="str">
        <x:v>是</x:v>
      </x:c>
      <x:c r="F14" s="25" t="str">
        <x:v>去除失败请求或按业务规则计入重试</x:v>
      </x:c>
      <x:c r="G14" s="25" t="str">
        <x:v>推理日志</x:v>
      </x:c>
    </x:row>
    <x:row r="15">
      <x:c r="A15" s="25" t="str">
        <x:v>业务量</x:v>
      </x:c>
      <x:c r="B15" s="25" t="str">
        <x:v>月处理图片数</x:v>
      </x:c>
      <x:c r="C15" s="26" t="n">
        <x:v>80000</x:v>
      </x:c>
      <x:c r="D15" s="25" t="str">
        <x:v>张/月</x:v>
      </x:c>
      <x:c r="E15" s="25" t="str">
        <x:v>是</x:v>
      </x:c>
      <x:c r="F15" s="25" t="str">
        <x:v>用于每张图片成本</x:v>
      </x:c>
      <x:c r="G15" s="25" t="str">
        <x:v>业务平台</x:v>
      </x:c>
    </x:row>
    <x:row r="16">
      <x:c r="A16" s="25" t="str">
        <x:v>业务量</x:v>
      </x:c>
      <x:c r="B16" s="25" t="str">
        <x:v>月视频处理时长</x:v>
      </x:c>
      <x:c r="C16" s="26" t="n">
        <x:v>1200</x:v>
      </x:c>
      <x:c r="D16" s="25" t="str">
        <x:v>小时/月</x:v>
      </x:c>
      <x:c r="E16" s="25" t="str">
        <x:v>是</x:v>
      </x:c>
      <x:c r="F16" s="25" t="str">
        <x:v>用于每路视频小时成本</x:v>
      </x:c>
      <x:c r="G16" s="25" t="str">
        <x:v>视频网关</x:v>
      </x:c>
    </x:row>
    <x:row r="17">
      <x:c r="A17" s="25" t="str">
        <x:v>外部API</x:v>
      </x:c>
      <x:c r="B17" s="25" t="str">
        <x:v>输入token</x:v>
      </x:c>
      <x:c r="C17" s="26" t="n">
        <x:v>0</x:v>
      </x:c>
      <x:c r="D17" s="25" t="str">
        <x:v>token/月</x:v>
      </x:c>
      <x:c r="E17" s="25" t="str">
        <x:v>是</x:v>
      </x:c>
      <x:c r="F17" s="25" t="str">
        <x:v>自建模型填0</x:v>
      </x:c>
      <x:c r="G17" s="25" t="str">
        <x:v>API账单/调用日志</x:v>
      </x:c>
    </x:row>
    <x:row r="18">
      <x:c r="A18" s="25" t="str">
        <x:v>外部API</x:v>
      </x:c>
      <x:c r="B18" s="25" t="str">
        <x:v>输出token</x:v>
      </x:c>
      <x:c r="C18" s="26" t="n">
        <x:v>0</x:v>
      </x:c>
      <x:c r="D18" s="25" t="str">
        <x:v>token/月</x:v>
      </x:c>
      <x:c r="E18" s="25" t="str">
        <x:v>是</x:v>
      </x:c>
      <x:c r="F18" s="25" t="str">
        <x:v>自建模型填0</x:v>
      </x:c>
      <x:c r="G18" s="25" t="str">
        <x:v>API账单/调用日志</x:v>
      </x:c>
    </x:row>
    <x:row r="19">
      <x:c r="A19" s="25" t="str">
        <x:v>通信</x:v>
      </x:c>
      <x:c r="B19" s="25" t="str">
        <x:v>ADU视频码率</x:v>
      </x:c>
      <x:c r="C19" s="26" t="n">
        <x:v>4</x:v>
      </x:c>
      <x:c r="D19" s="25" t="str">
        <x:v>Mbps</x:v>
      </x:c>
      <x:c r="E19" s="25" t="str">
        <x:v>是</x:v>
      </x:c>
      <x:c r="F19" s="25" t="str">
        <x:v>按实际编码码率和路数更新</x:v>
      </x:c>
      <x:c r="G19" s="25" t="str">
        <x:v>视频网关</x:v>
      </x:c>
    </x:row>
    <x:row r="20">
      <x:c r="A20" s="25" t="str">
        <x:v>通信</x:v>
      </x:c>
      <x:c r="B20" s="25" t="str">
        <x:v>ADU视频路数</x:v>
      </x:c>
      <x:c r="C20" s="26" t="n">
        <x:v>4</x:v>
      </x:c>
      <x:c r="D20" s="25" t="str">
        <x:v>路</x:v>
      </x:c>
      <x:c r="E20" s="25" t="str">
        <x:v>是</x:v>
      </x:c>
      <x:c r="F20" s="25" t="str">
        <x:v>远程驾驶并发视频路数</x:v>
      </x:c>
      <x:c r="G20" s="25" t="str">
        <x:v>机器人配置</x:v>
      </x:c>
    </x:row>
    <x:row r="21">
      <x:c r="A21" s="25" t="str">
        <x:v>通信</x:v>
      </x:c>
      <x:c r="B21" s="25" t="str">
        <x:v>ADU每日工作时长</x:v>
      </x:c>
      <x:c r="C21" s="26" t="n">
        <x:v>5</x:v>
      </x:c>
      <x:c r="D21" s="25" t="str">
        <x:v>小时/天</x:v>
      </x:c>
      <x:c r="E21" s="25" t="str">
        <x:v>是</x:v>
      </x:c>
      <x:c r="F21" s="25" t="str">
        <x:v>按实际作业时长更新</x:v>
      </x:c>
      <x:c r="G21" s="25" t="str">
        <x:v>运营排班</x:v>
      </x:c>
    </x:row>
    <x:row r="22">
      <x:c r="A22" s="25" t="str">
        <x:v>资源分摊</x:v>
      </x:c>
      <x:c r="B22" s="25" t="str">
        <x:v>AI实际GPU使用时长</x:v>
      </x:c>
      <x:c r="C22" s="26" t="n">
        <x:v>400</x:v>
      </x:c>
      <x:c r="D22" s="25" t="str">
        <x:v>GPU小时/月</x:v>
      </x:c>
      <x:c r="E22" s="25" t="str">
        <x:v>是</x:v>
      </x:c>
      <x:c r="F22" s="25" t="str">
        <x:v>用于共享服务器折旧和能耗分摊</x:v>
      </x:c>
      <x:c r="G22" s="25" t="str">
        <x:v>GPU监控、推理日志</x:v>
      </x:c>
    </x:row>
    <x:row r="23">
      <x:c r="A23" s="25" t="str">
        <x:v>资源分摊</x:v>
      </x:c>
      <x:c r="B23" s="25" t="str">
        <x:v>全部业务GPU使用时长</x:v>
      </x:c>
      <x:c r="C23" s="26" t="n">
        <x:v>600</x:v>
      </x:c>
      <x:c r="D23" s="25" t="str">
        <x:v>GPU小时/月</x:v>
      </x:c>
      <x:c r="E23" s="25" t="str">
        <x:v>是</x:v>
      </x:c>
      <x:c r="F23" s="25" t="str">
        <x:v>共享服务器所有业务的GPU使用时长</x:v>
      </x:c>
      <x:c r="G23" s="25" t="str">
        <x:v>GPU监控</x:v>
      </x:c>
    </x:row>
    <x:row r="24">
      <x:c r="A24" s="25" t="str">
        <x:v>云资源</x:v>
      </x:c>
      <x:c r="B24" s="25" t="str">
        <x:v>云GPU租用单价</x:v>
      </x:c>
      <x:c r="C24" s="26" t="n">
        <x:v>2.5</x:v>
      </x:c>
      <x:c r="D24" s="25" t="str">
        <x:v>元/GPU小时</x:v>
      </x:c>
      <x:c r="E24" s="25" t="str">
        <x:v>是</x:v>
      </x:c>
      <x:c r="F24" s="25" t="str">
        <x:v>仅使用云GPU时填写</x:v>
      </x:c>
      <x:c r="G24" s="25" t="str">
        <x:v>云平台合同/账单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110edf6b44e4a6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48" hidden="0" customWidth="1"/>
    <x:col min="4" max="4" width="18" hidden="0" customWidth="1"/>
    <x:col min="5" max="5" width="17" hidden="0" customWidth="1"/>
    <x:col min="6" max="6" width="18" hidden="0" customWidth="1"/>
  </x:cols>
  <x:sheetData>
    <x:row r="1" ht="26" customHeight="1">
      <x:c r="A1" s="2" t="str">
        <x:v>内部成本核算示例</x:v>
      </x:c>
      <x:c r="B1" s="2"/>
      <x:c r="C1" s="2"/>
      <x:c r="D1" s="2"/>
      <x:c r="E1" s="2"/>
      <x:c r="F1" s="2"/>
    </x:row>
    <x:row r="2">
      <x:c r="A2" s="3" t="str">
        <x:v>仅将实际发生的月度支出录入B列；GPU时长、图片数、请求数和token数只用于分摊或计算单位成本，不作为新增支出</x:v>
      </x:c>
    </x:row>
    <x:row r="3">
      <x:c r="A3" s="8" t="str">
        <x:v>成本模块</x:v>
      </x:c>
      <x:c r="B3" s="8" t="str">
        <x:v>月度金额（元）</x:v>
      </x:c>
      <x:c r="C3" s="8" t="str">
        <x:v>金额来源/计算说明</x:v>
      </x:c>
      <x:c r="D3" s="8" t="str">
        <x:v>分摊指标</x:v>
      </x:c>
      <x:c r="E3" s="8" t="str">
        <x:v>月度指标值</x:v>
      </x:c>
      <x:c r="F3" s="8" t="str">
        <x:v>单位成本（元）</x:v>
      </x:c>
    </x:row>
    <x:row r="4" ht="28" customHeight="1">
      <x:c r="A4" s="23" t="str">
        <x:v>服务器及设备折旧</x:v>
      </x:c>
      <x:c r="B4" s="31" t="n">
        <x:v>0</x:v>
      </x:c>
      <x:c r="C4" s="23" t="str">
        <x:v>资产折旧台账</x:v>
      </x:c>
      <x:c r="D4" s="23" t="str">
        <x:v>有效推理请求</x:v>
      </x:c>
      <x:c r="E4" s="23" t="n">
        <x:f>B14</x:f>
        <x:v>100000</x:v>
      </x:c>
      <x:c r="F4" s="32" t="n">
        <x:f>IF(E4=0,0,B4/E4)</x:f>
        <x:v>0</x:v>
      </x:c>
    </x:row>
    <x:row r="5" ht="28" customHeight="1">
      <x:c r="A5" s="25" t="str">
        <x:v>软件授权与平台</x:v>
      </x:c>
      <x:c r="B5" s="33" t="n">
        <x:v>0</x:v>
      </x:c>
      <x:c r="C5" s="25" t="str">
        <x:v>许可证和平台订阅费用</x:v>
      </x:c>
      <x:c r="D5" s="25" t="str">
        <x:v>有效推理请求</x:v>
      </x:c>
      <x:c r="E5" s="25" t="n">
        <x:f>B14</x:f>
        <x:v>100000</x:v>
      </x:c>
      <x:c r="F5" s="34" t="n">
        <x:f>IF(E5=0,0,B5/E5)</x:f>
        <x:v>0</x:v>
      </x:c>
    </x:row>
    <x:row r="6" ht="28" customHeight="1">
      <x:c r="A6" s="25" t="str">
        <x:v>服务器电费及PUE</x:v>
      </x:c>
      <x:c r="B6" s="33" t="n">
        <x:v>0</x:v>
      </x:c>
      <x:c r="C6" s="25" t="str">
        <x:v>设备功耗×电价×PUE</x:v>
      </x:c>
      <x:c r="D6" s="25" t="str">
        <x:v>有效推理请求</x:v>
      </x:c>
      <x:c r="E6" s="25" t="n">
        <x:f>B14</x:f>
        <x:v>100000</x:v>
      </x:c>
      <x:c r="F6" s="34" t="n">
        <x:f>IF(E6=0,0,B6/E6)</x:f>
        <x:v>0</x:v>
      </x:c>
    </x:row>
    <x:row r="7" ht="28" customHeight="1">
      <x:c r="A7" s="25" t="str">
        <x:v>存储与备份</x:v>
      </x:c>
      <x:c r="B7" s="33" t="n">
        <x:v>0</x:v>
      </x:c>
      <x:c r="C7" s="25" t="str">
        <x:v>输入、输出、日志、备份存储</x:v>
      </x:c>
      <x:c r="D7" s="25" t="str">
        <x:v>处理图片</x:v>
      </x:c>
      <x:c r="E7" s="25" t="n">
        <x:f>B15</x:f>
        <x:v>80000</x:v>
      </x:c>
      <x:c r="F7" s="34" t="n">
        <x:f>IF(E7=0,0,B7/E7)</x:f>
        <x:v>0</x:v>
      </x:c>
    </x:row>
    <x:row r="8" ht="28" customHeight="1">
      <x:c r="A8" s="25" t="str">
        <x:v>网络传输</x:v>
      </x:c>
      <x:c r="B8" s="33" t="n">
        <x:v>0</x:v>
      </x:c>
      <x:c r="C8" s="25" t="str">
        <x:v>内网、外网出口和回放流量</x:v>
      </x:c>
      <x:c r="D8" s="25" t="str">
        <x:v>有效推理请求</x:v>
      </x:c>
      <x:c r="E8" s="25" t="n">
        <x:f>B14</x:f>
        <x:v>100000</x:v>
      </x:c>
      <x:c r="F8" s="34" t="n">
        <x:f>IF(E8=0,0,B8/E8)</x:f>
        <x:v>0</x:v>
      </x:c>
    </x:row>
    <x:row r="9" ht="28" customHeight="1">
      <x:c r="A9" s="25" t="str">
        <x:v>运维及开发人力</x:v>
      </x:c>
      <x:c r="B9" s="33" t="n">
        <x:v>0</x:v>
      </x:c>
      <x:c r="C9" s="25" t="str">
        <x:v>工时×人工成本</x:v>
      </x:c>
      <x:c r="D9" s="25" t="str">
        <x:v>有效推理请求</x:v>
      </x:c>
      <x:c r="E9" s="25" t="n">
        <x:f>B14</x:f>
        <x:v>100000</x:v>
      </x:c>
      <x:c r="F9" s="34" t="n">
        <x:f>IF(E9=0,0,B9/E9)</x:f>
        <x:v>0</x:v>
      </x:c>
    </x:row>
    <x:row r="10" ht="28" customHeight="1">
      <x:c r="A10" s="25" t="str">
        <x:v>云GPU租用费（仅云部署）</x:v>
      </x:c>
      <x:c r="B10" s="33" t="n">
        <x:v>0</x:v>
      </x:c>
      <x:c r="C10" s="25" t="str">
        <x:v>云平台GPU实例实际账单；自建GPU填0</x:v>
      </x:c>
      <x:c r="D10" s="25" t="str">
        <x:v>有效推理请求</x:v>
      </x:c>
      <x:c r="E10" s="25" t="n">
        <x:f>B14</x:f>
        <x:v>100000</x:v>
      </x:c>
      <x:c r="F10" s="34" t="n">
        <x:f>IF(E10=0,0,B10/E10)</x:f>
        <x:v>0</x:v>
      </x:c>
    </x:row>
    <x:row r="11" ht="28" customHeight="1">
      <x:c r="A11" s="25" t="str">
        <x:v>外部API费用</x:v>
      </x:c>
      <x:c r="B11" s="33" t="n">
        <x:v>0</x:v>
      </x:c>
      <x:c r="C11" s="25" t="str">
        <x:v>输入/输出/图片token及请求费用</x:v>
      </x:c>
      <x:c r="D11" s="25" t="str">
        <x:v>有效推理请求</x:v>
      </x:c>
      <x:c r="E11" s="25" t="n">
        <x:f>B14</x:f>
        <x:v>100000</x:v>
      </x:c>
      <x:c r="F11" s="34" t="n">
        <x:f>IF(E11=0,0,B11/E11)</x:f>
        <x:v>0</x:v>
      </x:c>
    </x:row>
    <x:row r="12" ht="28" customHeight="1">
      <x:c r="A12" s="25" t="str">
        <x:v>通信流量配套成本</x:v>
      </x:c>
      <x:c r="B12" s="33" t="n">
        <x:v>0</x:v>
      </x:c>
      <x:c r="C12" s="25" t="str">
        <x:v>SIM卡、共享池、ADU视频与OTA</x:v>
      </x:c>
      <x:c r="D12" s="25" t="str">
        <x:v>ADU车小时</x:v>
      </x:c>
      <x:c r="E12" s="25" t="n">
        <x:f>B16</x:f>
        <x:v>150</x:v>
      </x:c>
      <x:c r="F12" s="34" t="n">
        <x:f>IF(E12=0,0,B12/E12)</x:f>
        <x:v>0</x:v>
      </x:c>
    </x:row>
    <x:row r="13" ht="28" customHeight="1">
      <x:c r="A13" s="39" t="str">
        <x:v>月度完全成本</x:v>
      </x:c>
      <x:c r="B13" s="40" t="n">
        <x:f>SUM(B4:B12)</x:f>
        <x:v>0</x:v>
      </x:c>
      <x:c r="C13" s="39" t="str">
        <x:v>固定支出+能源+存储+网络+人力+云/API+通信配套</x:v>
      </x:c>
      <x:c r="D13" s="39" t="str">
        <x:v>有效推理请求</x:v>
      </x:c>
      <x:c r="E13" s="39" t="n">
        <x:f>B14</x:f>
        <x:v>100000</x:v>
      </x:c>
      <x:c r="F13" s="41" t="n">
        <x:f>IF(E13=0,0,B13/E13)</x:f>
        <x:v>0</x:v>
      </x:c>
    </x:row>
    <x:row r="14" ht="28" customHeight="1">
      <x:c r="A14" s="25" t="str">
        <x:v>计算指标</x:v>
      </x:c>
      <x:c r="B14" s="35" t="n">
        <x:f>'参数与口径'!C14</x:f>
        <x:v>100000</x:v>
      </x:c>
      <x:c r="C14" s="25" t="str">
        <x:v>月有效推理请求数（分母，不是支出）</x:v>
      </x:c>
      <x:c r="D14" s="25" t="str"/>
      <x:c r="E14" s="25" t="str"/>
      <x:c r="F14" s="25"/>
    </x:row>
    <x:row r="15" ht="28" customHeight="1">
      <x:c r="A15" s="25" t="str">
        <x:v>计算指标</x:v>
      </x:c>
      <x:c r="B15" s="35" t="n">
        <x:f>'参数与口径'!C15</x:f>
        <x:v>80000</x:v>
      </x:c>
      <x:c r="C15" s="25" t="str">
        <x:v>月处理图片数（分母，不是支出）</x:v>
      </x:c>
      <x:c r="D15" s="25" t="str"/>
      <x:c r="E15" s="25" t="str"/>
      <x:c r="F15" s="25"/>
    </x:row>
    <x:row r="16" ht="28" customHeight="1">
      <x:c r="A16" s="25" t="str">
        <x:v>计算指标</x:v>
      </x:c>
      <x:c r="B16" s="35" t="n">
        <x:f>'参数与口径'!C21*'参数与口径'!C4</x:f>
        <x:v>150</x:v>
      </x:c>
      <x:c r="C16" s="25" t="str">
        <x:v>ADU车小时=每日工作时长×月天数×车数（示例车数取1）</x:v>
      </x:c>
      <x:c r="D16" s="25" t="str"/>
      <x:c r="E16" s="25" t="str"/>
      <x:c r="F16" s="25"/>
    </x:row>
    <x:row r="17" ht="28" customHeight="1">
      <x:c r="A17" s="17" t="str">
        <x:v>参考输出</x:v>
      </x:c>
      <x:c r="B17" s="44" t="n">
        <x:f>B13/B15</x:f>
        <x:v>0</x:v>
      </x:c>
      <x:c r="C17" s="25" t="str">
        <x:v>每张图片成本</x:v>
      </x:c>
      <x:c r="D17" s="25" t="str"/>
      <x:c r="E17" s="25" t="str"/>
      <x:c r="F17" s="25"/>
    </x:row>
    <x:row r="18" ht="28" customHeight="1">
      <x:c r="A18" s="17" t="str">
        <x:v>参考输出</x:v>
      </x:c>
      <x:c r="B18" s="44" t="n">
        <x:f>B13/B14</x:f>
        <x:v>0</x:v>
      </x:c>
      <x:c r="C18" s="25" t="str">
        <x:v>每次有效推理请求成本</x:v>
      </x:c>
      <x:c r="D18" s="25" t="str"/>
      <x:c r="E18" s="25" t="str"/>
      <x:c r="F18" s="25"/>
    </x:row>
    <x:row r="19" ht="28" customHeight="1">
      <x:c r="A19" s="17" t="str">
        <x:v>参考输出</x:v>
      </x:c>
      <x:c r="B19" s="44" t="n">
        <x:f>B13/B16</x:f>
        <x:v>0</x:v>
      </x:c>
      <x:c r="C19" s="25" t="str">
        <x:v>每个ADU车小时成本</x:v>
      </x:c>
      <x:c r="D19" s="25" t="str"/>
      <x:c r="E19" s="25" t="str"/>
      <x:c r="F19" s="25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d83ddf98a9b445e"/>
  </x:tableParts>
</x:worksheet>
</file>